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7\Desktop\chicken\"/>
    </mc:Choice>
  </mc:AlternateContent>
  <xr:revisionPtr revIDLastSave="0" documentId="8_{740FDDE3-E574-48A4-92F3-50DF4F4AB679}" xr6:coauthVersionLast="45" xr6:coauthVersionMax="45" xr10:uidLastSave="{00000000-0000-0000-0000-000000000000}"/>
  <bookViews>
    <workbookView xWindow="-120" yWindow="-120" windowWidth="29040" windowHeight="15720" xr2:uid="{22E1C4A4-FD2C-47C6-95BE-47DE4F75E694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9" i="1" l="1"/>
  <c r="O19" i="1"/>
  <c r="E18" i="1"/>
  <c r="G18" i="1"/>
  <c r="N16" i="1"/>
  <c r="E16" i="1"/>
  <c r="E17" i="1"/>
  <c r="N19" i="1"/>
  <c r="E19" i="1" l="1"/>
  <c r="E10" i="1"/>
  <c r="N10" i="1"/>
</calcChain>
</file>

<file path=xl/sharedStrings.xml><?xml version="1.0" encoding="utf-8"?>
<sst xmlns="http://schemas.openxmlformats.org/spreadsheetml/2006/main" count="32" uniqueCount="19">
  <si>
    <t xml:space="preserve">Жами: </t>
  </si>
  <si>
    <t>Жами</t>
  </si>
  <si>
    <t>№</t>
  </si>
  <si>
    <t>Янги лойихалар курсаткичлари</t>
  </si>
  <si>
    <t>Парранда суйиш линияси</t>
  </si>
  <si>
    <t>Rendering линияси</t>
  </si>
  <si>
    <t xml:space="preserve">Куп каватлик катакда бокиш </t>
  </si>
  <si>
    <t>Ем завод</t>
  </si>
  <si>
    <t>Она товук лойихаси</t>
  </si>
  <si>
    <t xml:space="preserve">Истикболлик лойиха </t>
  </si>
  <si>
    <t>Паррандасаноат уюшмаси билан биргаликдаги лойиха</t>
  </si>
  <si>
    <t>Фирма дуконлари (200 дона)</t>
  </si>
  <si>
    <t>Гушт ва сут махсулотлари</t>
  </si>
  <si>
    <t>Колбаса</t>
  </si>
  <si>
    <t>Таннарх пайсайтириш курсаткичи</t>
  </si>
  <si>
    <t>Кушимча киймат курсаткичи</t>
  </si>
  <si>
    <t>Лойиха тури</t>
  </si>
  <si>
    <t>млн АКШ доллар</t>
  </si>
  <si>
    <t>Фоиз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</si>
</sst>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$-409]#,##0"/>
    <numFmt numFmtId="166" formatCode="_-[$$-409]* #,##0.0_ ;_-[$$-409]* \-#,##0.0\ ;_-[$$-409]* &quot;-&quot;?_ ;_-@_ 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164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/>
    <xf numFmtId="3" fontId="0" fillId="0" borderId="0" xfId="0" applyNumberFormat="1"/>
    <xf numFmtId="0" fontId="2" fillId="0" borderId="0" xfId="0" applyFont="1" applyBorder="1"/>
    <xf numFmtId="164" fontId="0" fillId="0" borderId="0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9" fontId="0" fillId="0" borderId="1" xfId="1" applyFont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/>
    <xf numFmtId="0" fontId="0" fillId="3" borderId="4" xfId="0" applyFill="1" applyBorder="1" applyAlignment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2" fillId="0" borderId="1" xfId="1" applyFont="1" applyBorder="1"/>
    <xf numFmtId="9" fontId="0" fillId="0" borderId="1" xfId="0" applyNumberForma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4" fontId="2" fillId="0" borderId="0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be6064892184b65/Desktop/&#1090;&#1072;&#1096;&#1088;&#1080;&#1092;%20&#1087;&#1072;&#1087;&#1082;&#1072;/&#1053;&#1080;&#1105;&#1079;&#1073;&#1077;&#1082;/&#1053;&#1080;&#1105;&#1079;&#1073;&#1077;&#1082;/Yaratilgan%20qiymat%20(Sokin%20savdo)%20222222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"/>
      <sheetName val="Лист1"/>
      <sheetName val="prezentatsiyaga raqamlar"/>
      <sheetName val="svod"/>
      <sheetName val="one page"/>
      <sheetName val="2-pptx"/>
      <sheetName val="3-pptx"/>
      <sheetName val="4-pptx"/>
      <sheetName val="Лойихалар"/>
      <sheetName val="ozuqa yem"/>
      <sheetName val="qismlarga ajratish"/>
      <sheetName val="Ona tovuq"/>
      <sheetName val="Parranda so'yish (tannarx)"/>
      <sheetName val="Parranda so'yish (maydalash)"/>
      <sheetName val="Rendering"/>
      <sheetName val="Kop qavatli katak tizimi"/>
      <sheetName val="Kolbasa"/>
      <sheetName val="savdo do’konlari"/>
      <sheetName val="Ona tovuq (3)"/>
      <sheetName val="Yem ozuqa"/>
      <sheetName val="Parranda va naslli chorva"/>
    </sheetNames>
    <sheetDataSet>
      <sheetData sheetId="0"/>
      <sheetData sheetId="1"/>
      <sheetData sheetId="2"/>
      <sheetData sheetId="3"/>
      <sheetData sheetId="4">
        <row r="60">
          <cell r="M60">
            <v>96.9375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B49D-2DC7-41B7-9C50-C3F0E66D59BB}">
  <dimension ref="A1:O19"/>
  <sheetViews>
    <sheetView tabSelected="1" zoomScale="130" zoomScaleNormal="130" workbookViewId="0">
      <selection activeCell="E22" sqref="E22"/>
    </sheetView>
  </sheetViews>
  <sheetFormatPr defaultRowHeight="15" x14ac:dyDescent="0.25"/>
  <cols>
    <col min="1" max="1" width="8.7109375" style="1"/>
    <col min="4" max="4" width="24.42578125" customWidth="1"/>
    <col min="5" max="6" width="16.5703125" customWidth="1"/>
    <col min="8" max="8" width="8.7109375" style="1"/>
    <col min="14" max="14" width="13.85546875" style="2" bestFit="1" customWidth="1"/>
    <col min="15" max="15" width="11.42578125" style="2" customWidth="1"/>
  </cols>
  <sheetData>
    <row r="1" spans="1:15" ht="21" x14ac:dyDescent="0.35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5" x14ac:dyDescent="0.25">
      <c r="B2" s="1"/>
      <c r="C2" s="1"/>
      <c r="D2" s="1"/>
      <c r="E2" s="1"/>
      <c r="F2" s="1"/>
      <c r="G2" s="1"/>
      <c r="I2" s="1"/>
      <c r="J2" s="1"/>
      <c r="K2" s="1"/>
      <c r="L2" s="1"/>
      <c r="M2" s="1"/>
    </row>
    <row r="3" spans="1:15" x14ac:dyDescent="0.25">
      <c r="B3" s="1"/>
      <c r="C3" s="1"/>
      <c r="D3" s="44" t="s">
        <v>14</v>
      </c>
      <c r="E3" s="44"/>
      <c r="F3" s="44"/>
      <c r="G3" s="44"/>
      <c r="H3" s="44"/>
      <c r="I3" s="44"/>
      <c r="J3" s="44"/>
      <c r="K3" s="1"/>
      <c r="L3" s="1"/>
      <c r="M3" s="1"/>
    </row>
    <row r="4" spans="1:15" x14ac:dyDescent="0.25">
      <c r="B4" s="1"/>
      <c r="C4" s="1"/>
      <c r="D4" s="1"/>
      <c r="E4" s="1"/>
      <c r="F4" s="1"/>
      <c r="G4" s="1"/>
      <c r="I4" s="1"/>
      <c r="J4" s="1"/>
      <c r="K4" s="1"/>
      <c r="L4" s="1"/>
      <c r="M4" s="1"/>
    </row>
    <row r="5" spans="1:15" x14ac:dyDescent="0.25">
      <c r="A5" s="33" t="s">
        <v>9</v>
      </c>
      <c r="B5" s="33"/>
      <c r="C5" s="33"/>
      <c r="D5" s="33"/>
      <c r="E5" s="33"/>
      <c r="F5" s="31"/>
      <c r="H5" s="34" t="s">
        <v>10</v>
      </c>
      <c r="I5" s="34"/>
      <c r="J5" s="34"/>
      <c r="K5" s="34"/>
      <c r="L5" s="34"/>
      <c r="M5" s="34"/>
      <c r="N5" s="34"/>
    </row>
    <row r="6" spans="1:15" x14ac:dyDescent="0.25">
      <c r="A6" s="9" t="s">
        <v>2</v>
      </c>
      <c r="B6" s="37" t="s">
        <v>16</v>
      </c>
      <c r="C6" s="37"/>
      <c r="D6" s="37"/>
      <c r="E6" s="11"/>
      <c r="F6" s="14"/>
      <c r="G6" s="6"/>
      <c r="H6" s="3" t="s">
        <v>2</v>
      </c>
      <c r="I6" s="42" t="s">
        <v>16</v>
      </c>
      <c r="J6" s="45"/>
      <c r="K6" s="45"/>
      <c r="L6" s="45"/>
      <c r="M6" s="43"/>
      <c r="N6" s="4"/>
    </row>
    <row r="7" spans="1:15" x14ac:dyDescent="0.25">
      <c r="A7" s="3">
        <v>1</v>
      </c>
      <c r="B7" s="35" t="s">
        <v>7</v>
      </c>
      <c r="C7" s="35"/>
      <c r="D7" s="35"/>
      <c r="E7" s="7">
        <v>5.7000000000000002E-2</v>
      </c>
      <c r="F7" s="15"/>
      <c r="G7" s="6"/>
      <c r="H7" s="3">
        <v>1</v>
      </c>
      <c r="I7" s="35" t="s">
        <v>4</v>
      </c>
      <c r="J7" s="35"/>
      <c r="K7" s="35"/>
      <c r="L7" s="35"/>
      <c r="M7" s="35"/>
      <c r="N7" s="22">
        <v>8.9999999999999993E-3</v>
      </c>
    </row>
    <row r="8" spans="1:15" x14ac:dyDescent="0.25">
      <c r="A8" s="3">
        <v>2</v>
      </c>
      <c r="B8" s="35" t="s">
        <v>8</v>
      </c>
      <c r="C8" s="35"/>
      <c r="D8" s="35"/>
      <c r="E8" s="7">
        <v>8.8999999999999996E-2</v>
      </c>
      <c r="F8" s="15"/>
      <c r="G8" s="6"/>
      <c r="H8" s="3">
        <v>2</v>
      </c>
      <c r="I8" s="35" t="s">
        <v>5</v>
      </c>
      <c r="J8" s="35"/>
      <c r="K8" s="35"/>
      <c r="L8" s="35"/>
      <c r="M8" s="35"/>
      <c r="N8" s="22">
        <v>3.3000000000000002E-2</v>
      </c>
    </row>
    <row r="9" spans="1:15" x14ac:dyDescent="0.25">
      <c r="A9" s="3"/>
      <c r="B9" s="38"/>
      <c r="C9" s="38"/>
      <c r="D9" s="38"/>
      <c r="E9" s="7"/>
      <c r="F9" s="15"/>
      <c r="G9" s="6"/>
      <c r="H9" s="3">
        <v>3</v>
      </c>
      <c r="I9" s="35" t="s">
        <v>6</v>
      </c>
      <c r="J9" s="35"/>
      <c r="K9" s="35"/>
      <c r="L9" s="35"/>
      <c r="M9" s="35"/>
      <c r="N9" s="22">
        <v>1.2E-2</v>
      </c>
    </row>
    <row r="10" spans="1:15" x14ac:dyDescent="0.25">
      <c r="A10" s="10"/>
      <c r="B10" s="11" t="s">
        <v>0</v>
      </c>
      <c r="C10" s="39"/>
      <c r="D10" s="41"/>
      <c r="E10" s="28">
        <f>E7+E8</f>
        <v>0.14599999999999999</v>
      </c>
      <c r="F10" s="29"/>
      <c r="G10" s="14"/>
      <c r="H10" s="10"/>
      <c r="I10" s="11" t="s">
        <v>1</v>
      </c>
      <c r="J10" s="39"/>
      <c r="K10" s="40"/>
      <c r="L10" s="40"/>
      <c r="M10" s="41"/>
      <c r="N10" s="30">
        <f>SUM(N7:N9)</f>
        <v>5.4000000000000006E-2</v>
      </c>
    </row>
    <row r="12" spans="1:15" x14ac:dyDescent="0.25">
      <c r="D12" s="44" t="s">
        <v>15</v>
      </c>
      <c r="E12" s="44"/>
      <c r="F12" s="44"/>
      <c r="G12" s="44"/>
      <c r="H12" s="44"/>
      <c r="I12" s="44"/>
      <c r="J12" s="44"/>
    </row>
    <row r="14" spans="1:15" x14ac:dyDescent="0.25">
      <c r="A14" s="46" t="s">
        <v>9</v>
      </c>
      <c r="B14" s="47"/>
      <c r="C14" s="47"/>
      <c r="D14" s="48"/>
      <c r="E14" s="17" t="s">
        <v>17</v>
      </c>
      <c r="F14" s="16" t="s">
        <v>18</v>
      </c>
      <c r="H14" s="20" t="s">
        <v>10</v>
      </c>
      <c r="I14" s="21"/>
      <c r="J14" s="21"/>
      <c r="K14" s="21"/>
      <c r="L14" s="21"/>
      <c r="M14" s="21"/>
      <c r="N14" s="19" t="s">
        <v>17</v>
      </c>
      <c r="O14" s="19" t="s">
        <v>18</v>
      </c>
    </row>
    <row r="15" spans="1:15" x14ac:dyDescent="0.25">
      <c r="A15" s="3" t="s">
        <v>2</v>
      </c>
      <c r="B15" s="38" t="s">
        <v>16</v>
      </c>
      <c r="C15" s="38"/>
      <c r="D15" s="38"/>
      <c r="E15" s="5"/>
      <c r="F15" s="5"/>
      <c r="H15" s="3" t="s">
        <v>2</v>
      </c>
      <c r="I15" s="42" t="s">
        <v>16</v>
      </c>
      <c r="J15" s="45"/>
      <c r="K15" s="45"/>
      <c r="L15" s="45"/>
      <c r="M15" s="45"/>
      <c r="N15" s="4"/>
      <c r="O15" s="4"/>
    </row>
    <row r="16" spans="1:15" x14ac:dyDescent="0.25">
      <c r="A16" s="3">
        <v>1</v>
      </c>
      <c r="B16" s="35" t="s">
        <v>11</v>
      </c>
      <c r="C16" s="35"/>
      <c r="D16" s="35"/>
      <c r="E16" s="8">
        <f>25200000000/12000/1000000</f>
        <v>2.1</v>
      </c>
      <c r="F16" s="18">
        <v>0.2</v>
      </c>
      <c r="H16" s="3">
        <v>1</v>
      </c>
      <c r="I16" s="35" t="s">
        <v>4</v>
      </c>
      <c r="J16" s="35"/>
      <c r="K16" s="35"/>
      <c r="L16" s="35"/>
      <c r="M16" s="36"/>
      <c r="N16" s="23">
        <f>23000000000/12000/1000000</f>
        <v>1.9166666666666667</v>
      </c>
      <c r="O16" s="25">
        <v>0.08</v>
      </c>
    </row>
    <row r="17" spans="1:15" x14ac:dyDescent="0.25">
      <c r="A17" s="3">
        <v>2</v>
      </c>
      <c r="B17" s="35" t="s">
        <v>12</v>
      </c>
      <c r="C17" s="35"/>
      <c r="D17" s="35"/>
      <c r="E17" s="8">
        <f>56000000000/12000/10^6</f>
        <v>4.666666666666667</v>
      </c>
      <c r="F17" s="18">
        <v>0.1</v>
      </c>
      <c r="H17" s="3">
        <v>2</v>
      </c>
      <c r="I17" s="35"/>
      <c r="J17" s="35"/>
      <c r="K17" s="35"/>
      <c r="L17" s="35"/>
      <c r="M17" s="36"/>
      <c r="N17" s="23"/>
      <c r="O17" s="4"/>
    </row>
    <row r="18" spans="1:15" x14ac:dyDescent="0.25">
      <c r="A18" s="3"/>
      <c r="B18" s="35" t="s">
        <v>13</v>
      </c>
      <c r="C18" s="35"/>
      <c r="D18" s="35"/>
      <c r="E18" s="8">
        <f>97000000000/12000/10^6</f>
        <v>8.0833333333333321</v>
      </c>
      <c r="F18" s="18">
        <v>0.3</v>
      </c>
      <c r="G18" s="13">
        <f>[1]svod!$M$60</f>
        <v>96.9375</v>
      </c>
      <c r="H18" s="3">
        <v>3</v>
      </c>
      <c r="I18" s="35"/>
      <c r="J18" s="35"/>
      <c r="K18" s="35"/>
      <c r="L18" s="35"/>
      <c r="M18" s="36"/>
      <c r="N18" s="23"/>
      <c r="O18" s="4"/>
    </row>
    <row r="19" spans="1:15" x14ac:dyDescent="0.25">
      <c r="A19" s="3"/>
      <c r="B19" s="5" t="s">
        <v>0</v>
      </c>
      <c r="C19" s="42"/>
      <c r="D19" s="43"/>
      <c r="E19" s="12">
        <f>SUM(E16:E18)</f>
        <v>14.85</v>
      </c>
      <c r="F19" s="24">
        <f>SUM(F16:F18)</f>
        <v>0.60000000000000009</v>
      </c>
      <c r="H19" s="10"/>
      <c r="I19" s="11" t="s">
        <v>1</v>
      </c>
      <c r="J19" s="39"/>
      <c r="K19" s="40"/>
      <c r="L19" s="40"/>
      <c r="M19" s="40"/>
      <c r="N19" s="26">
        <f>SUM(N16:N18)</f>
        <v>1.9166666666666667</v>
      </c>
      <c r="O19" s="27">
        <f>SUM(O16:O18)</f>
        <v>0.08</v>
      </c>
    </row>
  </sheetData>
  <mergeCells count="26">
    <mergeCell ref="C19:D19"/>
    <mergeCell ref="D12:J12"/>
    <mergeCell ref="D3:J3"/>
    <mergeCell ref="I6:M6"/>
    <mergeCell ref="I15:M15"/>
    <mergeCell ref="A14:D14"/>
    <mergeCell ref="C10:D10"/>
    <mergeCell ref="J10:M10"/>
    <mergeCell ref="B16:D16"/>
    <mergeCell ref="B17:D17"/>
    <mergeCell ref="B18:D18"/>
    <mergeCell ref="B15:D15"/>
    <mergeCell ref="B1:M1"/>
    <mergeCell ref="A5:E5"/>
    <mergeCell ref="H5:N5"/>
    <mergeCell ref="I16:M16"/>
    <mergeCell ref="B6:D6"/>
    <mergeCell ref="B7:D7"/>
    <mergeCell ref="B8:D8"/>
    <mergeCell ref="B9:D9"/>
    <mergeCell ref="I7:M7"/>
    <mergeCell ref="I8:M8"/>
    <mergeCell ref="I17:M17"/>
    <mergeCell ref="I18:M18"/>
    <mergeCell ref="J19:M19"/>
    <mergeCell ref="I9:M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Bobir Babaev</dc:creator>
  <cp:lastModifiedBy>i7</cp:lastModifiedBy>
  <dcterms:created xsi:type="dcterms:W3CDTF">2026-09-18T08:45:07Z</dcterms:created>
  <dcterms:modified xsi:type="dcterms:W3CDTF">2026-09-20T09:38:31Z</dcterms:modified>
</cp:coreProperties>
</file>